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Table Definition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P4" i="1" l="1"/>
  <c r="P5" i="1"/>
  <c r="P6" i="1"/>
  <c r="P7" i="1"/>
  <c r="P8" i="1"/>
  <c r="P9" i="1"/>
  <c r="P10" i="1"/>
  <c r="P11" i="1"/>
  <c r="P3" i="1"/>
  <c r="A6" i="1" l="1"/>
  <c r="A7" i="1"/>
  <c r="A8" i="1"/>
  <c r="A9" i="1"/>
  <c r="A10" i="1"/>
  <c r="A11" i="1"/>
  <c r="O4" i="1"/>
  <c r="O6" i="1"/>
  <c r="O8" i="1"/>
  <c r="O10" i="1"/>
  <c r="O5" i="1"/>
  <c r="O7" i="1"/>
  <c r="O9" i="1"/>
  <c r="O11" i="1"/>
  <c r="O3" i="1"/>
  <c r="N4" i="1"/>
  <c r="N6" i="1"/>
  <c r="N8" i="1"/>
  <c r="N10" i="1"/>
  <c r="N5" i="1"/>
  <c r="N7" i="1"/>
  <c r="N9" i="1"/>
  <c r="N11" i="1"/>
  <c r="N3" i="1"/>
  <c r="A4" i="1" l="1"/>
  <c r="A5" i="1"/>
  <c r="A3" i="1"/>
</calcChain>
</file>

<file path=xl/sharedStrings.xml><?xml version="1.0" encoding="utf-8"?>
<sst xmlns="http://schemas.openxmlformats.org/spreadsheetml/2006/main" count="79" uniqueCount="55">
  <si>
    <t>No</t>
    <phoneticPr fontId="1"/>
  </si>
  <si>
    <t>Table Name</t>
    <phoneticPr fontId="1"/>
  </si>
  <si>
    <t>Table Id</t>
    <phoneticPr fontId="1"/>
  </si>
  <si>
    <t>Column Name</t>
    <phoneticPr fontId="1"/>
  </si>
  <si>
    <t>Column Id</t>
    <phoneticPr fontId="1"/>
  </si>
  <si>
    <t>Column Definition</t>
    <phoneticPr fontId="1"/>
  </si>
  <si>
    <t>Type</t>
    <phoneticPr fontId="1"/>
  </si>
  <si>
    <t>注文</t>
    <rPh sb="0" eb="2">
      <t>チュウモン</t>
    </rPh>
    <phoneticPr fontId="1"/>
  </si>
  <si>
    <t>T_ORDER</t>
    <phoneticPr fontId="1"/>
  </si>
  <si>
    <t>注文ID</t>
    <rPh sb="0" eb="2">
      <t>チュウモン</t>
    </rPh>
    <phoneticPr fontId="1"/>
  </si>
  <si>
    <t>会社コード</t>
    <rPh sb="0" eb="2">
      <t>カイシャ</t>
    </rPh>
    <phoneticPr fontId="1"/>
  </si>
  <si>
    <t>注文情報</t>
    <rPh sb="0" eb="2">
      <t>チュウモン</t>
    </rPh>
    <rPh sb="2" eb="4">
      <t>ジョウホウ</t>
    </rPh>
    <phoneticPr fontId="1"/>
  </si>
  <si>
    <t>ORDER_ID</t>
    <phoneticPr fontId="1"/>
  </si>
  <si>
    <t>COMPANY_CODE</t>
    <phoneticPr fontId="1"/>
  </si>
  <si>
    <t>ORDER_INFOMATION</t>
    <phoneticPr fontId="1"/>
  </si>
  <si>
    <t>注文を一意に識別するID。</t>
    <rPh sb="0" eb="2">
      <t>チュウモン</t>
    </rPh>
    <rPh sb="3" eb="5">
      <t>イチイ</t>
    </rPh>
    <rPh sb="6" eb="8">
      <t>シキベツ</t>
    </rPh>
    <phoneticPr fontId="1"/>
  </si>
  <si>
    <t>会社コード。証券コードを使用。</t>
    <rPh sb="0" eb="2">
      <t>カイシャ</t>
    </rPh>
    <rPh sb="6" eb="8">
      <t>ショウケン</t>
    </rPh>
    <rPh sb="12" eb="14">
      <t>シヨウ</t>
    </rPh>
    <phoneticPr fontId="1"/>
  </si>
  <si>
    <t>注文オブジェクトをJSON形式で保存。</t>
    <rPh sb="0" eb="2">
      <t>チュウモン</t>
    </rPh>
    <rPh sb="13" eb="15">
      <t>ケイシキ</t>
    </rPh>
    <rPh sb="16" eb="18">
      <t>ホゾン</t>
    </rPh>
    <phoneticPr fontId="1"/>
  </si>
  <si>
    <t>BIGINT</t>
    <phoneticPr fontId="1"/>
  </si>
  <si>
    <t>VARCHAR</t>
    <phoneticPr fontId="1"/>
  </si>
  <si>
    <t>Scale</t>
    <phoneticPr fontId="1"/>
  </si>
  <si>
    <t>Precision</t>
    <phoneticPr fontId="1"/>
  </si>
  <si>
    <t>Not Null</t>
    <phoneticPr fontId="1"/>
  </si>
  <si>
    <t>PK</t>
    <phoneticPr fontId="1"/>
  </si>
  <si>
    <t>〇</t>
    <phoneticPr fontId="1"/>
  </si>
  <si>
    <t>〇</t>
    <phoneticPr fontId="1"/>
  </si>
  <si>
    <t>TEXT</t>
    <phoneticPr fontId="1"/>
  </si>
  <si>
    <t>登録ユーザーID</t>
    <rPh sb="0" eb="2">
      <t>トウロク</t>
    </rPh>
    <phoneticPr fontId="1"/>
  </si>
  <si>
    <t>更新ユーザーID</t>
    <rPh sb="0" eb="2">
      <t>コウシン</t>
    </rPh>
    <phoneticPr fontId="1"/>
  </si>
  <si>
    <t>バージョンNO</t>
    <phoneticPr fontId="1"/>
  </si>
  <si>
    <t>論理削除フラグ</t>
    <rPh sb="0" eb="2">
      <t>ロンリ</t>
    </rPh>
    <rPh sb="2" eb="4">
      <t>サクジョ</t>
    </rPh>
    <phoneticPr fontId="1"/>
  </si>
  <si>
    <t>CREATE_USER_ID</t>
    <phoneticPr fontId="1"/>
  </si>
  <si>
    <t>CREATE_DATE_TIME</t>
    <phoneticPr fontId="1"/>
  </si>
  <si>
    <t>登録タイムスタンプ</t>
    <rPh sb="0" eb="2">
      <t>トウロク</t>
    </rPh>
    <phoneticPr fontId="1"/>
  </si>
  <si>
    <t>更新タイムスタンプ</t>
    <rPh sb="0" eb="2">
      <t>コウシン</t>
    </rPh>
    <phoneticPr fontId="1"/>
  </si>
  <si>
    <t>UPDATE_USER_ID</t>
    <phoneticPr fontId="1"/>
  </si>
  <si>
    <t>UPDATE_DATE_TIME</t>
    <phoneticPr fontId="1"/>
  </si>
  <si>
    <t>VERSION_NO</t>
    <phoneticPr fontId="1"/>
  </si>
  <si>
    <t>LOGICAL_DELETE_FLAG</t>
    <phoneticPr fontId="1"/>
  </si>
  <si>
    <t>レコードを登録したユーザーのID</t>
    <rPh sb="5" eb="7">
      <t>トウロク</t>
    </rPh>
    <phoneticPr fontId="1"/>
  </si>
  <si>
    <t>レコードが登録された時刻</t>
    <rPh sb="5" eb="7">
      <t>トウロク</t>
    </rPh>
    <rPh sb="10" eb="12">
      <t>ジコク</t>
    </rPh>
    <phoneticPr fontId="1"/>
  </si>
  <si>
    <t>レコードを更新したユーザーID</t>
    <rPh sb="5" eb="7">
      <t>コウシン</t>
    </rPh>
    <phoneticPr fontId="1"/>
  </si>
  <si>
    <t>レコードが更新された時刻</t>
    <rPh sb="5" eb="7">
      <t>コウシン</t>
    </rPh>
    <rPh sb="10" eb="12">
      <t>ジコク</t>
    </rPh>
    <phoneticPr fontId="1"/>
  </si>
  <si>
    <t>レコードの更新回数</t>
    <rPh sb="5" eb="7">
      <t>コウシン</t>
    </rPh>
    <rPh sb="7" eb="9">
      <t>カイスウ</t>
    </rPh>
    <phoneticPr fontId="1"/>
  </si>
  <si>
    <t>論理削除時に「1:削除」を設定する。</t>
    <rPh sb="0" eb="2">
      <t>ロンリ</t>
    </rPh>
    <rPh sb="2" eb="4">
      <t>サクジョ</t>
    </rPh>
    <rPh sb="4" eb="5">
      <t>ジ</t>
    </rPh>
    <rPh sb="9" eb="11">
      <t>サクジョ</t>
    </rPh>
    <rPh sb="13" eb="15">
      <t>セッテイ</t>
    </rPh>
    <phoneticPr fontId="1"/>
  </si>
  <si>
    <t>BOOLEAN</t>
    <phoneticPr fontId="1"/>
  </si>
  <si>
    <t>SMALLINT</t>
    <phoneticPr fontId="1"/>
  </si>
  <si>
    <t>Index</t>
    <phoneticPr fontId="1"/>
  </si>
  <si>
    <t>Note</t>
    <phoneticPr fontId="1"/>
  </si>
  <si>
    <t>1-1</t>
    <phoneticPr fontId="1"/>
  </si>
  <si>
    <t>Java Field Name</t>
    <phoneticPr fontId="1"/>
  </si>
  <si>
    <t>JSON形式で値を保持する。</t>
    <rPh sb="4" eb="6">
      <t>ケイシキ</t>
    </rPh>
    <rPh sb="7" eb="8">
      <t>アタイ</t>
    </rPh>
    <rPh sb="9" eb="11">
      <t>ホジ</t>
    </rPh>
    <phoneticPr fontId="1"/>
  </si>
  <si>
    <t>Java Field Type</t>
    <phoneticPr fontId="1"/>
  </si>
  <si>
    <t>DATETIME</t>
    <phoneticPr fontId="1"/>
  </si>
  <si>
    <t>Java Field Code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</si>
</sst>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ill="1" applyBorder="1"/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56" fontId="0" fillId="0" borderId="1" xfId="0" quotePrefix="1" applyNumberFormat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P11"/>
  <sheetViews>
    <sheetView showGridLines="0" tabSelected="1" workbookViewId="0">
      <selection activeCell="P3" sqref="P3:P11"/>
    </sheetView>
  </sheetViews>
  <sheetFormatPr defaultRowHeight="13.5" x14ac:dyDescent="0.15"/>
  <cols>
    <col min="1" max="1" width="3.75" bestFit="1" customWidth="1"/>
    <col min="2" max="2" width="11" bestFit="1" customWidth="1"/>
    <col min="3" max="3" width="9.125" bestFit="1" customWidth="1"/>
    <col min="4" max="4" width="14.625" bestFit="1" customWidth="1"/>
    <col min="5" max="5" width="22.25" bestFit="1" customWidth="1"/>
    <col min="6" max="6" width="33.125" bestFit="1" customWidth="1"/>
    <col min="7" max="7" width="9.625" bestFit="1" customWidth="1"/>
    <col min="8" max="8" width="5.875" style="4" bestFit="1" customWidth="1"/>
    <col min="9" max="9" width="8.875" style="4" bestFit="1" customWidth="1"/>
    <col min="10" max="10" width="8" style="4" bestFit="1" customWidth="1"/>
    <col min="11" max="11" width="5.75" style="4" customWidth="1"/>
    <col min="12" max="12" width="9" style="4"/>
    <col min="13" max="13" width="25" style="4" bestFit="1" customWidth="1"/>
    <col min="14" max="15" width="15" bestFit="1" customWidth="1"/>
    <col min="16" max="16" width="55.875" bestFit="1" customWidth="1"/>
  </cols>
  <sheetData>
    <row r="2" spans="1:16" s="4" customFormat="1" ht="14.25" thickBot="1" x14ac:dyDescent="0.2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20</v>
      </c>
      <c r="I2" s="5" t="s">
        <v>21</v>
      </c>
      <c r="J2" s="5" t="s">
        <v>22</v>
      </c>
      <c r="K2" s="5" t="s">
        <v>23</v>
      </c>
      <c r="L2" s="5" t="s">
        <v>47</v>
      </c>
      <c r="M2" s="5" t="s">
        <v>48</v>
      </c>
      <c r="N2" s="9" t="s">
        <v>50</v>
      </c>
      <c r="O2" s="9" t="s">
        <v>52</v>
      </c>
      <c r="P2" s="9" t="s">
        <v>54</v>
      </c>
    </row>
    <row r="3" spans="1:16" ht="14.25" thickTop="1" x14ac:dyDescent="0.15">
      <c r="A3" s="2">
        <f>ROW()-1</f>
        <v>2</v>
      </c>
      <c r="B3" s="2" t="s">
        <v>7</v>
      </c>
      <c r="C3" s="2" t="s">
        <v>8</v>
      </c>
      <c r="D3" s="2" t="s">
        <v>9</v>
      </c>
      <c r="E3" s="2" t="s">
        <v>12</v>
      </c>
      <c r="F3" s="2" t="s">
        <v>15</v>
      </c>
      <c r="G3" s="2" t="s">
        <v>18</v>
      </c>
      <c r="H3" s="6"/>
      <c r="I3" s="6"/>
      <c r="J3" s="6" t="s">
        <v>24</v>
      </c>
      <c r="K3" s="6">
        <v>1</v>
      </c>
      <c r="L3" s="6"/>
      <c r="M3" s="6"/>
      <c r="N3" s="2" t="str">
        <f>getCamel(E3)</f>
        <v>orderId</v>
      </c>
      <c r="O3" s="2" t="str">
        <f>convertType(G3)</f>
        <v>Long</v>
      </c>
      <c r="P3" s="2" t="str">
        <f>"/** "&amp;D3&amp;" */ private "&amp;O3&amp;" "&amp;N3&amp;";"</f>
        <v>/** 注文ID */ private Long orderId;</v>
      </c>
    </row>
    <row r="4" spans="1:16" x14ac:dyDescent="0.15">
      <c r="A4" s="1">
        <f t="shared" ref="A4:A11" si="0">ROW()-1</f>
        <v>3</v>
      </c>
      <c r="B4" s="1" t="s">
        <v>7</v>
      </c>
      <c r="C4" s="1" t="s">
        <v>8</v>
      </c>
      <c r="D4" s="1" t="s">
        <v>10</v>
      </c>
      <c r="E4" s="1" t="s">
        <v>13</v>
      </c>
      <c r="F4" s="1" t="s">
        <v>16</v>
      </c>
      <c r="G4" s="1" t="s">
        <v>19</v>
      </c>
      <c r="H4" s="7">
        <v>4</v>
      </c>
      <c r="I4" s="7"/>
      <c r="J4" s="7" t="s">
        <v>24</v>
      </c>
      <c r="K4" s="7"/>
      <c r="L4" s="8" t="s">
        <v>49</v>
      </c>
      <c r="M4" s="7"/>
      <c r="N4" s="1" t="str">
        <f t="shared" ref="N4:O11" si="1">getCamel(E4)</f>
        <v>companyCode</v>
      </c>
      <c r="O4" s="2" t="str">
        <f t="shared" ref="O4:P11" si="2">convertType(G4)</f>
        <v>String</v>
      </c>
      <c r="P4" s="2" t="str">
        <f t="shared" ref="P4:P11" si="3">"/** "&amp;D4&amp;" */ private "&amp;O4&amp;" "&amp;N4&amp;";"</f>
        <v>/** 会社コード */ private String companyCode;</v>
      </c>
    </row>
    <row r="5" spans="1:16" x14ac:dyDescent="0.15">
      <c r="A5" s="1">
        <f t="shared" si="0"/>
        <v>4</v>
      </c>
      <c r="B5" s="1" t="s">
        <v>7</v>
      </c>
      <c r="C5" s="1" t="s">
        <v>8</v>
      </c>
      <c r="D5" s="1" t="s">
        <v>11</v>
      </c>
      <c r="E5" s="1" t="s">
        <v>14</v>
      </c>
      <c r="F5" s="1" t="s">
        <v>17</v>
      </c>
      <c r="G5" s="1" t="s">
        <v>26</v>
      </c>
      <c r="H5" s="7"/>
      <c r="I5" s="7"/>
      <c r="J5" s="7" t="s">
        <v>25</v>
      </c>
      <c r="K5" s="7"/>
      <c r="L5" s="7"/>
      <c r="M5" s="7" t="s">
        <v>51</v>
      </c>
      <c r="N5" s="1" t="str">
        <f t="shared" si="1"/>
        <v>orderInfomation</v>
      </c>
      <c r="O5" s="2" t="str">
        <f t="shared" si="2"/>
        <v>String</v>
      </c>
      <c r="P5" s="2" t="str">
        <f t="shared" si="3"/>
        <v>/** 注文情報 */ private String orderInfomation;</v>
      </c>
    </row>
    <row r="6" spans="1:16" x14ac:dyDescent="0.15">
      <c r="A6" s="1">
        <f t="shared" si="0"/>
        <v>5</v>
      </c>
      <c r="B6" s="1" t="s">
        <v>7</v>
      </c>
      <c r="C6" s="1" t="s">
        <v>8</v>
      </c>
      <c r="D6" s="3" t="s">
        <v>27</v>
      </c>
      <c r="E6" s="3" t="s">
        <v>31</v>
      </c>
      <c r="F6" s="3" t="s">
        <v>39</v>
      </c>
      <c r="G6" s="1" t="s">
        <v>19</v>
      </c>
      <c r="H6" s="7">
        <v>8</v>
      </c>
      <c r="I6" s="7"/>
      <c r="J6" s="7" t="s">
        <v>25</v>
      </c>
      <c r="K6" s="7"/>
      <c r="L6" s="7"/>
      <c r="M6" s="7"/>
      <c r="N6" s="1" t="str">
        <f t="shared" si="1"/>
        <v>createUserId</v>
      </c>
      <c r="O6" s="2" t="str">
        <f t="shared" si="2"/>
        <v>String</v>
      </c>
      <c r="P6" s="2" t="str">
        <f t="shared" si="3"/>
        <v>/** 登録ユーザーID */ private String createUserId;</v>
      </c>
    </row>
    <row r="7" spans="1:16" x14ac:dyDescent="0.15">
      <c r="A7" s="1">
        <f t="shared" si="0"/>
        <v>6</v>
      </c>
      <c r="B7" s="1" t="s">
        <v>7</v>
      </c>
      <c r="C7" s="1" t="s">
        <v>8</v>
      </c>
      <c r="D7" s="3" t="s">
        <v>33</v>
      </c>
      <c r="E7" s="3" t="s">
        <v>32</v>
      </c>
      <c r="F7" s="3" t="s">
        <v>40</v>
      </c>
      <c r="G7" s="1" t="s">
        <v>53</v>
      </c>
      <c r="H7" s="7"/>
      <c r="I7" s="7"/>
      <c r="J7" s="7" t="s">
        <v>25</v>
      </c>
      <c r="K7" s="7"/>
      <c r="L7" s="7"/>
      <c r="M7" s="7"/>
      <c r="N7" s="1" t="str">
        <f t="shared" si="1"/>
        <v>createDateTime</v>
      </c>
      <c r="O7" s="2" t="str">
        <f t="shared" si="2"/>
        <v>Timestamp</v>
      </c>
      <c r="P7" s="2" t="str">
        <f t="shared" si="3"/>
        <v>/** 登録タイムスタンプ */ private Timestamp createDateTime;</v>
      </c>
    </row>
    <row r="8" spans="1:16" x14ac:dyDescent="0.15">
      <c r="A8" s="1">
        <f t="shared" si="0"/>
        <v>7</v>
      </c>
      <c r="B8" s="1" t="s">
        <v>7</v>
      </c>
      <c r="C8" s="1" t="s">
        <v>8</v>
      </c>
      <c r="D8" s="3" t="s">
        <v>28</v>
      </c>
      <c r="E8" s="3" t="s">
        <v>35</v>
      </c>
      <c r="F8" s="3" t="s">
        <v>41</v>
      </c>
      <c r="G8" s="1" t="s">
        <v>19</v>
      </c>
      <c r="H8" s="7">
        <v>8</v>
      </c>
      <c r="I8" s="7"/>
      <c r="J8" s="7" t="s">
        <v>25</v>
      </c>
      <c r="K8" s="7"/>
      <c r="L8" s="7"/>
      <c r="M8" s="7"/>
      <c r="N8" s="1" t="str">
        <f t="shared" si="1"/>
        <v>updateUserId</v>
      </c>
      <c r="O8" s="2" t="str">
        <f t="shared" si="2"/>
        <v>String</v>
      </c>
      <c r="P8" s="2" t="str">
        <f t="shared" si="3"/>
        <v>/** 更新ユーザーID */ private String updateUserId;</v>
      </c>
    </row>
    <row r="9" spans="1:16" x14ac:dyDescent="0.15">
      <c r="A9" s="1">
        <f t="shared" si="0"/>
        <v>8</v>
      </c>
      <c r="B9" s="1" t="s">
        <v>7</v>
      </c>
      <c r="C9" s="1" t="s">
        <v>8</v>
      </c>
      <c r="D9" s="3" t="s">
        <v>34</v>
      </c>
      <c r="E9" s="3" t="s">
        <v>36</v>
      </c>
      <c r="F9" s="3" t="s">
        <v>42</v>
      </c>
      <c r="G9" s="1" t="s">
        <v>53</v>
      </c>
      <c r="H9" s="7"/>
      <c r="I9" s="7"/>
      <c r="J9" s="7"/>
      <c r="K9" s="7"/>
      <c r="L9" s="7"/>
      <c r="M9" s="7"/>
      <c r="N9" s="1" t="str">
        <f t="shared" si="1"/>
        <v>updateDateTime</v>
      </c>
      <c r="O9" s="2" t="str">
        <f t="shared" si="2"/>
        <v>Timestamp</v>
      </c>
      <c r="P9" s="2" t="str">
        <f t="shared" si="3"/>
        <v>/** 更新タイムスタンプ */ private Timestamp updateDateTime;</v>
      </c>
    </row>
    <row r="10" spans="1:16" x14ac:dyDescent="0.15">
      <c r="A10" s="1">
        <f t="shared" si="0"/>
        <v>9</v>
      </c>
      <c r="B10" s="1" t="s">
        <v>7</v>
      </c>
      <c r="C10" s="1" t="s">
        <v>8</v>
      </c>
      <c r="D10" s="3" t="s">
        <v>29</v>
      </c>
      <c r="E10" s="3" t="s">
        <v>37</v>
      </c>
      <c r="F10" s="3" t="s">
        <v>43</v>
      </c>
      <c r="G10" s="1" t="s">
        <v>46</v>
      </c>
      <c r="H10" s="7"/>
      <c r="I10" s="7"/>
      <c r="J10" s="7"/>
      <c r="K10" s="7"/>
      <c r="L10" s="7"/>
      <c r="M10" s="7"/>
      <c r="N10" s="1" t="str">
        <f t="shared" si="1"/>
        <v>versionNo</v>
      </c>
      <c r="O10" s="2" t="str">
        <f t="shared" si="2"/>
        <v>Integer</v>
      </c>
      <c r="P10" s="2" t="str">
        <f t="shared" si="3"/>
        <v>/** バージョンNO */ private Integer versionNo;</v>
      </c>
    </row>
    <row r="11" spans="1:16" x14ac:dyDescent="0.15">
      <c r="A11" s="1">
        <f t="shared" si="0"/>
        <v>10</v>
      </c>
      <c r="B11" s="1" t="s">
        <v>7</v>
      </c>
      <c r="C11" s="1" t="s">
        <v>8</v>
      </c>
      <c r="D11" s="3" t="s">
        <v>30</v>
      </c>
      <c r="E11" s="3" t="s">
        <v>38</v>
      </c>
      <c r="F11" s="3" t="s">
        <v>44</v>
      </c>
      <c r="G11" s="1" t="s">
        <v>45</v>
      </c>
      <c r="H11" s="7"/>
      <c r="I11" s="7"/>
      <c r="J11" s="7" t="s">
        <v>25</v>
      </c>
      <c r="K11" s="7"/>
      <c r="L11" s="7"/>
      <c r="M11" s="7"/>
      <c r="N11" s="1" t="str">
        <f t="shared" si="1"/>
        <v>logicalDeleteFlag</v>
      </c>
      <c r="O11" s="2" t="str">
        <f t="shared" si="2"/>
        <v>Boolean</v>
      </c>
      <c r="P11" s="2" t="str">
        <f t="shared" si="3"/>
        <v>/** 論理削除フラグ */ private Boolean logicalDeleteFlag;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Table Definition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2017-02-08T21:25:32Z</dcterms:modified>
</cp:coreProperties>
</file>